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_Ramya\MATLAB &amp; Julia codes\Final_Correction_4pL\HCV\"/>
    </mc:Choice>
  </mc:AlternateContent>
  <xr:revisionPtr revIDLastSave="0" documentId="13_ncr:1_{7C633C63-F4A5-4925-B115-FBE49B27F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M2" i="1" l="1"/>
  <c r="CO2" i="1"/>
  <c r="CM2" i="1"/>
  <c r="DW2" i="1"/>
</calcChain>
</file>

<file path=xl/sharedStrings.xml><?xml version="1.0" encoding="utf-8"?>
<sst xmlns="http://schemas.openxmlformats.org/spreadsheetml/2006/main" count="129" uniqueCount="129">
  <si>
    <t>Vc2n</t>
  </si>
  <si>
    <t>Vn2c</t>
  </si>
  <si>
    <t>a_RC</t>
  </si>
  <si>
    <t>b_IRF3</t>
  </si>
  <si>
    <t>b_MAVS</t>
  </si>
  <si>
    <t>b_RIGI</t>
  </si>
  <si>
    <t>b_prot</t>
  </si>
  <si>
    <t>deg</t>
  </si>
  <si>
    <t>degARCBySOCS</t>
  </si>
  <si>
    <t>degRecBySOCS</t>
  </si>
  <si>
    <t>k1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</si>
  <si>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</si>
  <si>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</si>
  <si>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</si>
  <si>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</si>
  <si>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</si>
  <si>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</si>
  <si>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</si>
  <si>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</si>
  <si>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</si>
  <si>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</si>
  <si>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</si>
  <si>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</si>
  <si>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</si>
  <si>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</si>
  <si>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</si>
  <si>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k27</t>
  </si>
  <si>
    <t>k29</t>
  </si>
  <si>
    <t>k3</t>
  </si>
  <si>
    <t>k31</t>
  </si>
  <si>
    <t>k32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</si>
  <si>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</si>
  <si>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</si>
  <si>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</si>
  <si>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</si>
  <si>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</si>
  <si>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</si>
  <si>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</si>
  <si>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</si>
  <si>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</si>
  <si>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</si>
  <si>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</si>
  <si>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</si>
  <si>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</si>
  <si>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</si>
  <si>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</si>
  <si>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</si>
  <si>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</si>
  <si>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</si>
  <si>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</si>
  <si>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</si>
  <si>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</si>
  <si>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</si>
  <si>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</si>
  <si>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</si>
  <si>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</si>
  <si>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</si>
  <si>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</si>
  <si>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</si>
  <si>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</si>
  <si>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</si>
  <si>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</si>
  <si>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</si>
  <si>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k64</t>
  </si>
  <si>
    <t>k65</t>
  </si>
  <si>
    <t>k66</t>
  </si>
  <si>
    <t>k67</t>
  </si>
  <si>
    <t>k69</t>
  </si>
  <si>
    <t>k7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</si>
  <si>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</si>
  <si>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</si>
  <si>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</si>
  <si>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</si>
  <si>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</si>
  <si>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</si>
  <si>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</si>
  <si>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</si>
  <si>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</si>
  <si>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</si>
  <si>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</t>
  </si>
  <si>
    <t>k9</t>
  </si>
  <si>
    <t>k_IFN</t>
  </si>
  <si>
    <t>k_IKK</t>
  </si>
  <si>
    <t>k_IKKe_TBK1</t>
  </si>
  <si>
    <t>k_IRF3_IKKe_TBK1</t>
  </si>
  <si>
    <t>k_MAVS</t>
  </si>
  <si>
    <t>k_RIGI</t>
  </si>
  <si>
    <t>k_TFBS_IFNa</t>
  </si>
  <si>
    <t>k_TFBS_IFNb</t>
  </si>
  <si>
    <t>k_TFBS_IFNl</t>
  </si>
  <si>
    <t>k_a</t>
  </si>
  <si>
    <t>k_act</t>
  </si>
  <si>
    <t>k_c</t>
  </si>
  <si>
    <t>k_deph</t>
  </si>
  <si>
    <t>k_e</t>
  </si>
  <si>
    <t>k_en</t>
  </si>
  <si>
    <t>k_expr_IkBa</t>
  </si>
  <si>
    <t>k_f</t>
  </si>
  <si>
    <t>k_inh_p65</t>
  </si>
  <si>
    <t>k_mRNA_IFNb</t>
  </si>
  <si>
    <t>k_mRNA_IFNl</t>
  </si>
  <si>
    <t>k_mRNA_MX1</t>
  </si>
  <si>
    <t>k_mx1_mRNA</t>
  </si>
  <si>
    <t>k_r</t>
  </si>
  <si>
    <t>k_rigi_synt</t>
  </si>
  <si>
    <t>k_t</t>
  </si>
  <si>
    <t>k_transISG</t>
  </si>
  <si>
    <t>k_transISGn</t>
  </si>
  <si>
    <t>k_trans_IFNl</t>
  </si>
  <si>
    <t>k_transp_NFkB</t>
  </si>
  <si>
    <t>kinhBySOCS</t>
  </si>
  <si>
    <t>ks</t>
  </si>
  <si>
    <t>mu_IFN</t>
  </si>
  <si>
    <t>mu_IFNl</t>
  </si>
  <si>
    <t>mu_IkBa</t>
  </si>
  <si>
    <t>mu_V_E</t>
  </si>
  <si>
    <t>mu_V_I</t>
  </si>
  <si>
    <t>mu_mRNA_IFNa</t>
  </si>
  <si>
    <t>mu_mRNA_IFNb</t>
  </si>
  <si>
    <t>mu_mRNA_IFNl</t>
  </si>
  <si>
    <t>mu_mRNA_mx1</t>
  </si>
  <si>
    <t>mu_mx1</t>
  </si>
  <si>
    <t>mu_p</t>
  </si>
  <si>
    <t>mu_r</t>
  </si>
  <si>
    <t>mu_rigi</t>
  </si>
  <si>
    <t>nSP</t>
  </si>
  <si>
    <t>rcsat</t>
  </si>
  <si>
    <t>tau</t>
  </si>
  <si>
    <t>tau_5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</si>
</sst>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"/>
  <sheetViews>
    <sheetView tabSelected="1" topLeftCell="CJ1" workbookViewId="0">
      <selection activeCell="DM3" sqref="DM3"/>
    </sheetView>
  </sheetViews>
  <sheetFormatPr defaultRowHeight="15" x14ac:dyDescent="0.25"/>
  <cols>
    <col min="1" max="3" width="5.42578125" customWidth="1"/>
    <col min="4" max="4" width="7" customWidth="1"/>
    <col min="5" max="5" width="8.5703125" customWidth="1"/>
    <col min="6" max="6" width="6.85546875" customWidth="1"/>
    <col min="7" max="7" width="7" customWidth="1"/>
    <col min="8" max="8" width="4.42578125" customWidth="1"/>
    <col min="9" max="9" width="14.7109375" customWidth="1"/>
    <col min="10" max="10" width="14.28515625" customWidth="1"/>
    <col min="11" max="11" width="3.140625" customWidth="1"/>
    <col min="12" max="21" width="4.140625" customWidth="1"/>
    <col min="22" max="22" width="3.140625" customWidth="1"/>
    <col min="23" max="28" width="4.140625" customWidth="1"/>
    <col min="29" max="29" width="3.140625" customWidth="1"/>
    <col min="30" max="37" width="4.140625" customWidth="1"/>
    <col min="38" max="38" width="3.140625" customWidth="1"/>
    <col min="39" max="48" width="4.140625" customWidth="1"/>
    <col min="49" max="49" width="3.140625" customWidth="1"/>
    <col min="50" max="58" width="4.140625" customWidth="1"/>
    <col min="59" max="59" width="3.140625" customWidth="1"/>
    <col min="60" max="67" width="4.140625" customWidth="1"/>
    <col min="68" max="68" width="8.7109375" customWidth="1"/>
    <col min="69" max="69" width="3.140625" customWidth="1"/>
    <col min="70" max="79" width="4.140625" customWidth="1"/>
    <col min="80" max="81" width="3.140625" customWidth="1"/>
    <col min="82" max="82" width="6.140625" customWidth="1"/>
    <col min="83" max="83" width="6" customWidth="1"/>
    <col min="84" max="84" width="12.42578125" customWidth="1"/>
    <col min="85" max="85" width="17.140625" customWidth="1"/>
    <col min="86" max="86" width="8.42578125" customWidth="1"/>
    <col min="87" max="87" width="6.7109375" customWidth="1"/>
    <col min="88" max="88" width="12.28515625" customWidth="1"/>
    <col min="89" max="89" width="12.42578125" customWidth="1"/>
    <col min="90" max="90" width="11.85546875" customWidth="1"/>
    <col min="91" max="91" width="11.28515625" customWidth="1"/>
    <col min="92" max="92" width="5.7109375" customWidth="1"/>
    <col min="93" max="93" width="7.28515625" customWidth="1"/>
    <col min="94" max="94" width="7.7109375" customWidth="1"/>
    <col min="95" max="95" width="4.28515625" customWidth="1"/>
    <col min="96" max="96" width="6" bestFit="1" customWidth="1"/>
    <col min="97" max="97" width="11.85546875" customWidth="1"/>
    <col min="98" max="98" width="3.85546875" customWidth="1"/>
    <col min="99" max="99" width="10.140625" customWidth="1"/>
    <col min="100" max="100" width="13.85546875" customWidth="1"/>
    <col min="101" max="101" width="13.28515625" customWidth="1"/>
    <col min="102" max="102" width="13.5703125" customWidth="1"/>
    <col min="103" max="103" width="13.42578125" customWidth="1"/>
    <col min="104" max="104" width="3.85546875" customWidth="1"/>
    <col min="105" max="105" width="10.7109375" customWidth="1"/>
    <col min="106" max="106" width="3.85546875" customWidth="1"/>
    <col min="107" max="107" width="10.42578125" customWidth="1"/>
    <col min="108" max="108" width="11.5703125" customWidth="1"/>
    <col min="109" max="109" width="12.140625" customWidth="1"/>
    <col min="110" max="110" width="14.28515625" customWidth="1"/>
    <col min="111" max="111" width="11.7109375" customWidth="1"/>
    <col min="112" max="112" width="7.28515625" customWidth="1"/>
    <col min="113" max="113" width="11" customWidth="1"/>
    <col min="114" max="114" width="8.5703125" customWidth="1"/>
    <col min="115" max="115" width="8.7109375" customWidth="1"/>
    <col min="116" max="116" width="8.28515625" customWidth="1"/>
    <col min="117" max="117" width="7.85546875" customWidth="1"/>
    <col min="118" max="118" width="15.5703125" customWidth="1"/>
    <col min="119" max="119" width="15.7109375" customWidth="1"/>
    <col min="120" max="120" width="15.140625" customWidth="1"/>
    <col min="121" max="121" width="15.28515625" customWidth="1"/>
    <col min="122" max="122" width="8.7109375" customWidth="1"/>
    <col min="123" max="123" width="6.140625" customWidth="1"/>
    <col min="124" max="124" width="5.7109375" customWidth="1"/>
    <col min="125" max="125" width="7.85546875" customWidth="1"/>
    <col min="126" max="126" width="4.42578125" customWidth="1"/>
    <col min="127" max="127" width="13.140625" customWidth="1"/>
    <col min="128" max="128" width="4" customWidth="1"/>
    <col min="129" max="129" width="6" customWidth="1"/>
  </cols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5">
      <c r="A2">
        <v>2.5854517347990376</v>
      </c>
      <c r="B2">
        <v>0.38677960471682443</v>
      </c>
      <c r="C2">
        <v>4.6666666666666666E-4</v>
      </c>
      <c r="D2">
        <v>1.0236204055286784E-3</v>
      </c>
      <c r="E2">
        <v>0.21893400000000002</v>
      </c>
      <c r="F2">
        <v>9.2747985705140978E-2</v>
      </c>
      <c r="G2">
        <v>8.0304957320007017E-2</v>
      </c>
      <c r="H2">
        <v>1.6666666666666668E-3</v>
      </c>
      <c r="I2">
        <v>1.4728333333333335E-2</v>
      </c>
      <c r="J2">
        <v>1.7133333333333331E-4</v>
      </c>
      <c r="K2">
        <v>6</v>
      </c>
      <c r="L2">
        <v>239.99999999999994</v>
      </c>
      <c r="M2">
        <v>0.11999999999999998</v>
      </c>
      <c r="N2">
        <v>239.99999999999994</v>
      </c>
      <c r="O2">
        <v>479.99999999999994</v>
      </c>
      <c r="P2">
        <v>6</v>
      </c>
      <c r="Q2">
        <v>6</v>
      </c>
      <c r="R2">
        <v>0.89999999999999991</v>
      </c>
      <c r="S2">
        <v>0</v>
      </c>
      <c r="T2">
        <v>0.89999999999999991</v>
      </c>
      <c r="U2">
        <v>0</v>
      </c>
      <c r="V2">
        <v>3</v>
      </c>
      <c r="W2">
        <v>0.6</v>
      </c>
      <c r="X2">
        <v>0.6</v>
      </c>
      <c r="Y2">
        <v>6</v>
      </c>
      <c r="Z2">
        <v>6</v>
      </c>
      <c r="AA2">
        <v>0.29999999999999993</v>
      </c>
      <c r="AB2">
        <v>6.0000000000000036E-3</v>
      </c>
      <c r="AC2">
        <v>6</v>
      </c>
      <c r="AD2">
        <v>2.9999999999999995E-2</v>
      </c>
      <c r="AE2">
        <v>1.7999999999999999E-2</v>
      </c>
      <c r="AF2">
        <v>0.6</v>
      </c>
      <c r="AG2">
        <v>6.0000000000000036E-3</v>
      </c>
      <c r="AH2">
        <v>6.0000000000000036E-3</v>
      </c>
      <c r="AI2">
        <v>6.0000000000000036E-3</v>
      </c>
      <c r="AJ2">
        <v>0.06</v>
      </c>
      <c r="AK2">
        <v>12.000000000000002</v>
      </c>
      <c r="AL2">
        <v>3</v>
      </c>
      <c r="AM2">
        <v>0.18</v>
      </c>
      <c r="AN2">
        <v>0.06</v>
      </c>
      <c r="AO2">
        <v>12.000000000000002</v>
      </c>
      <c r="AP2">
        <v>0.18</v>
      </c>
      <c r="AQ2">
        <v>0.6</v>
      </c>
      <c r="AR2">
        <v>6</v>
      </c>
      <c r="AS2">
        <v>6</v>
      </c>
      <c r="AT2">
        <v>0.6</v>
      </c>
      <c r="AU2">
        <v>6</v>
      </c>
      <c r="AV2">
        <v>0.11999999999999998</v>
      </c>
      <c r="AW2">
        <v>0.6</v>
      </c>
      <c r="AX2">
        <v>6.0000000000000036E-3</v>
      </c>
      <c r="AY2">
        <v>6</v>
      </c>
      <c r="AZ2">
        <v>6</v>
      </c>
      <c r="BA2">
        <v>6</v>
      </c>
      <c r="BB2">
        <v>6</v>
      </c>
      <c r="BC2">
        <v>7.5000000000000011E-2</v>
      </c>
      <c r="BD2">
        <v>0.6</v>
      </c>
      <c r="BE2">
        <v>4.9019999999999975E-3</v>
      </c>
      <c r="BF2">
        <v>8.3999999999999991E-2</v>
      </c>
      <c r="BG2">
        <v>0.6</v>
      </c>
      <c r="BH2">
        <v>0.6</v>
      </c>
      <c r="BI2">
        <v>0.6</v>
      </c>
      <c r="BJ2">
        <v>0.6</v>
      </c>
      <c r="BK2">
        <v>0.6</v>
      </c>
      <c r="BL2">
        <v>7.5000000000000011E-2</v>
      </c>
      <c r="BM2">
        <v>8.3999999999999991E-2</v>
      </c>
      <c r="BN2">
        <v>1.2</v>
      </c>
      <c r="BO2">
        <v>0.29999999999999993</v>
      </c>
      <c r="BP2">
        <v>1.32</v>
      </c>
      <c r="BQ2">
        <v>0.29999999999999993</v>
      </c>
      <c r="BR2">
        <v>0.86399999999999999</v>
      </c>
      <c r="BS2">
        <v>1E-3</v>
      </c>
      <c r="BT2">
        <v>0.14699999999999999</v>
      </c>
      <c r="BU2">
        <v>4.8899999999999997</v>
      </c>
      <c r="BV2">
        <v>0.32800000000000001</v>
      </c>
      <c r="BW2">
        <v>0.876</v>
      </c>
      <c r="BX2">
        <v>5.9999999999999995E-5</v>
      </c>
      <c r="BY2">
        <v>4.36E-2</v>
      </c>
      <c r="BZ2">
        <v>1.3899999999999999E-2</v>
      </c>
      <c r="CA2">
        <v>43.87</v>
      </c>
      <c r="CB2">
        <v>0.11999999999999998</v>
      </c>
      <c r="CC2">
        <v>0.11999999999999998</v>
      </c>
      <c r="CD2">
        <v>5.9812526240096315E-5</v>
      </c>
      <c r="CE2">
        <v>4.8236237310372763E-2</v>
      </c>
      <c r="CF2">
        <v>1.0000000000001381E-3</v>
      </c>
      <c r="CG2">
        <v>1.6983613256155335E-2</v>
      </c>
      <c r="CH2">
        <v>8.9903999999999974E-3</v>
      </c>
      <c r="CI2">
        <v>1.0099199999999996E-2</v>
      </c>
      <c r="CJ2">
        <v>0</v>
      </c>
      <c r="CK2">
        <v>0</v>
      </c>
      <c r="CL2">
        <v>0</v>
      </c>
      <c r="CM2">
        <f xml:space="preserve"> 0.0000006/16.67 *40</f>
        <v>1.439712057588482E-6</v>
      </c>
      <c r="CN2">
        <v>2.1137937562417447E-3</v>
      </c>
      <c r="CO2">
        <f>0.0433333333333333/16.67 *40</f>
        <v>0.10397920415916807</v>
      </c>
      <c r="CP2">
        <v>5.1846396659370006E-2</v>
      </c>
      <c r="CQ2">
        <v>1.1000000000000001E-3</v>
      </c>
      <c r="CR2">
        <v>2E-3</v>
      </c>
      <c r="CS2">
        <v>9.1998297116433516E-5</v>
      </c>
      <c r="CT2">
        <v>5.1666666666666668E-4</v>
      </c>
      <c r="CU2">
        <v>2.9999999999999995E-2</v>
      </c>
      <c r="CV2">
        <v>1.9854023554930037E-4</v>
      </c>
      <c r="CW2">
        <v>0.15415927349510181</v>
      </c>
      <c r="CX2">
        <v>7.0137897289491886E-3</v>
      </c>
      <c r="CY2">
        <v>15.411245278296377</v>
      </c>
      <c r="CZ2">
        <v>6.0000000000000005E-2</v>
      </c>
      <c r="DA2">
        <v>7.4790817106362662E-3</v>
      </c>
      <c r="DB2">
        <v>0.39499999999999996</v>
      </c>
      <c r="DC2">
        <v>1.2121094839857787E-4</v>
      </c>
      <c r="DD2">
        <v>0.626</v>
      </c>
      <c r="DE2">
        <v>6.1731818049586213E-4</v>
      </c>
      <c r="DF2">
        <v>2.2590916764716025E-4</v>
      </c>
      <c r="DG2">
        <v>889.4</v>
      </c>
      <c r="DH2">
        <v>1.6500000000000001E-2</v>
      </c>
      <c r="DI2">
        <v>2.5000000000000001E-3</v>
      </c>
      <c r="DJ2">
        <v>1.6000000000000009E-4</v>
      </c>
      <c r="DK2">
        <v>6.7999999999999979E-3</v>
      </c>
      <c r="DL2">
        <v>1E-4</v>
      </c>
      <c r="DM2">
        <f>0.2/60</f>
        <v>3.3333333333333335E-3</v>
      </c>
      <c r="DN2">
        <v>2.3000000000000008E-3</v>
      </c>
      <c r="DO2">
        <v>2.8000000000000013E-3</v>
      </c>
      <c r="DP2">
        <v>3.5999999999999999E-3</v>
      </c>
      <c r="DQ2">
        <v>2.8000000000000013E-3</v>
      </c>
      <c r="DR2">
        <v>2.0927999999999989E-4</v>
      </c>
      <c r="DS2">
        <v>1.8333333333333333E-3</v>
      </c>
      <c r="DT2">
        <v>4.1666666666666666E-3</v>
      </c>
      <c r="DU2">
        <v>1.4000000000000004E-3</v>
      </c>
      <c r="DV2">
        <v>180</v>
      </c>
      <c r="DW2">
        <f>88/2400</f>
        <v>3.6666666666666667E-2</v>
      </c>
      <c r="DX2">
        <v>348</v>
      </c>
      <c r="DY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Boddepalli</cp:lastModifiedBy>
  <dcterms:modified xsi:type="dcterms:W3CDTF">2026-03-19T11:22:53Z</dcterms:modified>
</cp:coreProperties>
</file>